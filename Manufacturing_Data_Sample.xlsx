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تحليل البيانات\projects\القرمشي للمشاريع العصرية\"/>
    </mc:Choice>
  </mc:AlternateContent>
  <bookViews>
    <workbookView xWindow="0" yWindow="0" windowWidth="20490" windowHeight="7620"/>
  </bookViews>
  <sheets>
    <sheet name="Customers" sheetId="1" r:id="rId1"/>
    <sheet name="Sales" sheetId="2" r:id="rId2"/>
    <sheet name="Purchases" sheetId="8" r:id="rId3"/>
    <sheet name="Expenses" sheetId="6" r:id="rId4"/>
    <sheet name="Loan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E8" i="7" l="1"/>
  <c r="E7" i="7"/>
  <c r="E6" i="7"/>
  <c r="E5" i="7"/>
  <c r="E4" i="7"/>
  <c r="E3" i="7"/>
  <c r="E2" i="7"/>
  <c r="G2" i="2"/>
  <c r="G3" i="2"/>
  <c r="G4" i="2"/>
  <c r="G5" i="2"/>
  <c r="G6" i="2"/>
  <c r="G9" i="2" l="1"/>
  <c r="G10" i="2"/>
  <c r="G11" i="2"/>
  <c r="G12" i="2"/>
  <c r="G7" i="2"/>
</calcChain>
</file>

<file path=xl/sharedStrings.xml><?xml version="1.0" encoding="utf-8"?>
<sst xmlns="http://schemas.openxmlformats.org/spreadsheetml/2006/main" count="87" uniqueCount="45">
  <si>
    <t>Customer_ID</t>
  </si>
  <si>
    <t>Customer_Name</t>
  </si>
  <si>
    <t>Customer_Type</t>
  </si>
  <si>
    <t>مدفوع أفراد</t>
  </si>
  <si>
    <t>مدفوع مصانع</t>
  </si>
  <si>
    <t>Factory</t>
  </si>
  <si>
    <t>Individual</t>
  </si>
  <si>
    <t>خارجي</t>
  </si>
  <si>
    <t>Export</t>
  </si>
  <si>
    <t>Date</t>
  </si>
  <si>
    <t>Sales_Type</t>
  </si>
  <si>
    <t>Total_Sales</t>
  </si>
  <si>
    <t>Paid_Amount</t>
  </si>
  <si>
    <t>Unpaid_Amount</t>
  </si>
  <si>
    <t>Amount</t>
  </si>
  <si>
    <t>Expense_type</t>
  </si>
  <si>
    <t>Person_name</t>
  </si>
  <si>
    <t>Amount_given</t>
  </si>
  <si>
    <t>Supplier_name</t>
  </si>
  <si>
    <t>Supplier_type</t>
  </si>
  <si>
    <t>Total_purchase</t>
  </si>
  <si>
    <t>Quantity</t>
  </si>
  <si>
    <t>Amount_paid</t>
  </si>
  <si>
    <t>Remaining_Amount</t>
  </si>
  <si>
    <t>Invoice_Number</t>
  </si>
  <si>
    <t>مصنع سلوم</t>
  </si>
  <si>
    <t>مصنع ربشة</t>
  </si>
  <si>
    <t>محمد سلطان</t>
  </si>
  <si>
    <t>أحمد خالد</t>
  </si>
  <si>
    <t>سليم مبارك</t>
  </si>
  <si>
    <t>يحي حمود</t>
  </si>
  <si>
    <t>Local</t>
  </si>
  <si>
    <t>احمد خالد</t>
  </si>
  <si>
    <t>Manage</t>
  </si>
  <si>
    <t>عبد الله نصور</t>
  </si>
  <si>
    <t>عبد الله منصور</t>
  </si>
  <si>
    <t>Salary</t>
  </si>
  <si>
    <t>Water</t>
  </si>
  <si>
    <t>Electrecity</t>
  </si>
  <si>
    <t>سليم حمود</t>
  </si>
  <si>
    <t>محمد عبد الله</t>
  </si>
  <si>
    <t>عبد الرحمن أحمد</t>
  </si>
  <si>
    <t>أحمد يحيي</t>
  </si>
  <si>
    <t>يحيى حمود</t>
  </si>
  <si>
    <t>خليفة سالم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</si>
</sst>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166" formatCode="dd/mm/yyyy;@"/>
    </dxf>
    <dxf>
      <font>
        <color rgb="FF9C0006"/>
      </font>
      <fill>
        <patternFill>
          <bgColor rgb="FFFFC7CE"/>
        </patternFill>
      </fill>
    </dxf>
    <dxf>
      <numFmt numFmtId="165" formatCode="0.000"/>
    </dxf>
    <dxf>
      <numFmt numFmtId="166" formatCode="dd/mm/yyyy;@"/>
    </dxf>
    <dxf>
      <numFmt numFmtId="2" formatCode="0.00"/>
    </dxf>
    <dxf>
      <numFmt numFmtId="165" formatCode="0.000"/>
    </dxf>
    <dxf>
      <numFmt numFmtId="2" formatCode="0.00"/>
    </dxf>
    <dxf>
      <numFmt numFmtId="166" formatCode="dd/mm/yyyy;@"/>
    </dxf>
    <dxf>
      <numFmt numFmtId="165" formatCode="0.000"/>
    </dxf>
    <dxf>
      <numFmt numFmtId="165" formatCode="0.000"/>
    </dxf>
    <dxf>
      <numFmt numFmtId="165" formatCode="0.000"/>
    </dxf>
    <dxf>
      <numFmt numFmtId="164" formatCode="0.0"/>
    </dxf>
    <dxf>
      <numFmt numFmtId="166" formatCode="dd/mm/yyyy;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1781175</xdr:colOff>
      <xdr:row>12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2" name="Customer_Table" displayName="Customer_Table" ref="A1:C11" totalsRowShown="0">
  <autoFilter ref="A1:C11"/>
  <tableColumns count="3">
    <tableColumn id="1" name="Customer_ID"/>
    <tableColumn id="2" name="Customer_Name"/>
    <tableColumn id="3" name="Customer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ales_Table" displayName="Sales_Table" ref="A1:G12" totalsRowShown="0">
  <autoFilter ref="A1:G12"/>
  <tableColumns count="7">
    <tableColumn id="1" name="Date" dataDxfId="15"/>
    <tableColumn id="2" name="Customer_ID"/>
    <tableColumn id="3" name="Sales_Type"/>
    <tableColumn id="8" name="Quantity" dataDxfId="14"/>
    <tableColumn id="4" name="Total_Sales" dataDxfId="13"/>
    <tableColumn id="5" name="Paid_Amount" dataDxfId="12"/>
    <tableColumn id="6" name="Unpaid_Amount" dataDxfId="11">
      <calculatedColumnFormula>Sales_Table[[#This Row],[Total_Sales]]-Sales_Table[[#This Row],[Paid_Amount]]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Purchases_table" displayName="Purchases_table" ref="A1:F11" totalsRowShown="0">
  <autoFilter ref="A1:F11"/>
  <tableColumns count="6">
    <tableColumn id="1" name="Date" dataDxfId="10"/>
    <tableColumn id="2" name="Supplier_name"/>
    <tableColumn id="3" name="Supplier_type"/>
    <tableColumn id="5" name="Quantity" dataDxfId="9"/>
    <tableColumn id="4" name="Total_purchase" dataDxfId="8"/>
    <tableColumn id="7" name="Invoice_Number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enses_table" displayName="Expenses_table" ref="A1:C6" totalsRowShown="0">
  <autoFilter ref="A1:C6"/>
  <tableColumns count="3">
    <tableColumn id="1" name="Date" dataDxfId="6"/>
    <tableColumn id="2" name="Expense_type"/>
    <tableColumn id="3" name="Amoun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ans_table" displayName="Loans_table" ref="A1:E8" totalsRowShown="0">
  <autoFilter ref="A1:E8"/>
  <tableColumns count="5">
    <tableColumn id="1" name="Date" dataDxfId="3"/>
    <tableColumn id="2" name="Person_name"/>
    <tableColumn id="3" name="Amount_given" dataDxfId="2"/>
    <tableColumn id="5" name="Amount_paid" dataDxfId="1"/>
    <tableColumn id="4" name="Remaining_Amount" dataDxfId="0">
      <calculatedColumnFormula>Loans_table[[#This Row],[Amount_given]]-Loans_table[[#This Row],[Amount_paid]]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3" sqref="A3"/>
    </sheetView>
  </sheetViews>
  <sheetFormatPr defaultRowHeight="15" x14ac:dyDescent="0.25"/>
  <cols>
    <col min="1" max="1" width="16.5703125" customWidth="1"/>
    <col min="2" max="2" width="24.28515625" customWidth="1"/>
    <col min="3" max="3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6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25</v>
      </c>
      <c r="C5" t="s">
        <v>5</v>
      </c>
    </row>
    <row r="6" spans="1:3" x14ac:dyDescent="0.25">
      <c r="A6">
        <v>5</v>
      </c>
      <c r="B6" t="s">
        <v>26</v>
      </c>
      <c r="C6" t="s">
        <v>5</v>
      </c>
    </row>
    <row r="7" spans="1:3" x14ac:dyDescent="0.25">
      <c r="A7">
        <v>6</v>
      </c>
      <c r="B7" t="s">
        <v>27</v>
      </c>
      <c r="C7" t="s">
        <v>6</v>
      </c>
    </row>
    <row r="8" spans="1:3" x14ac:dyDescent="0.25">
      <c r="A8">
        <v>7</v>
      </c>
      <c r="B8" t="s">
        <v>28</v>
      </c>
      <c r="C8" t="s">
        <v>6</v>
      </c>
    </row>
    <row r="9" spans="1:3" x14ac:dyDescent="0.25">
      <c r="A9">
        <v>8</v>
      </c>
      <c r="B9" t="s">
        <v>29</v>
      </c>
      <c r="C9" t="s">
        <v>6</v>
      </c>
    </row>
    <row r="10" spans="1:3" x14ac:dyDescent="0.25">
      <c r="A10">
        <v>9</v>
      </c>
      <c r="B10" t="s">
        <v>43</v>
      </c>
      <c r="C10" t="s">
        <v>6</v>
      </c>
    </row>
    <row r="11" spans="1:3" x14ac:dyDescent="0.25">
      <c r="A11">
        <v>10</v>
      </c>
      <c r="B11" t="s">
        <v>34</v>
      </c>
      <c r="C1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9" sqref="F9"/>
    </sheetView>
  </sheetViews>
  <sheetFormatPr defaultRowHeight="15" x14ac:dyDescent="0.25"/>
  <cols>
    <col min="1" max="1" width="10.7109375" style="4" bestFit="1" customWidth="1"/>
    <col min="2" max="2" width="14.5703125" customWidth="1"/>
    <col min="3" max="3" width="13" customWidth="1"/>
    <col min="4" max="4" width="15.42578125" style="2" customWidth="1"/>
    <col min="5" max="5" width="15.140625" style="3" customWidth="1"/>
    <col min="6" max="6" width="21.5703125" style="3" customWidth="1"/>
    <col min="7" max="7" width="22.5703125" style="3" customWidth="1"/>
  </cols>
  <sheetData>
    <row r="1" spans="1:7" x14ac:dyDescent="0.25">
      <c r="A1" s="4" t="s">
        <v>9</v>
      </c>
      <c r="B1" t="s">
        <v>0</v>
      </c>
      <c r="C1" t="s">
        <v>10</v>
      </c>
      <c r="D1" s="2" t="s">
        <v>21</v>
      </c>
      <c r="E1" s="3" t="s">
        <v>11</v>
      </c>
      <c r="F1" s="3" t="s">
        <v>12</v>
      </c>
      <c r="G1" s="3" t="s">
        <v>13</v>
      </c>
    </row>
    <row r="2" spans="1:7" x14ac:dyDescent="0.25">
      <c r="A2" s="4">
        <v>46084</v>
      </c>
      <c r="B2">
        <v>5</v>
      </c>
      <c r="C2" t="s">
        <v>31</v>
      </c>
      <c r="D2" s="2">
        <v>2.2999999999999998</v>
      </c>
      <c r="E2" s="3">
        <v>5</v>
      </c>
      <c r="F2" s="3">
        <v>5</v>
      </c>
      <c r="G2" s="3">
        <f>Sales_Table[[#This Row],[Total_Sales]]-Sales_Table[[#This Row],[Paid_Amount]]</f>
        <v>0</v>
      </c>
    </row>
    <row r="3" spans="1:7" x14ac:dyDescent="0.25">
      <c r="A3" s="4">
        <v>46086</v>
      </c>
      <c r="B3">
        <v>4</v>
      </c>
      <c r="C3" t="s">
        <v>31</v>
      </c>
      <c r="D3" s="2">
        <v>5</v>
      </c>
      <c r="E3" s="3">
        <v>10</v>
      </c>
      <c r="F3" s="3">
        <v>9</v>
      </c>
      <c r="G3" s="3">
        <f>Sales_Table[[#This Row],[Total_Sales]]-Sales_Table[[#This Row],[Paid_Amount]]</f>
        <v>1</v>
      </c>
    </row>
    <row r="4" spans="1:7" x14ac:dyDescent="0.25">
      <c r="A4" s="4">
        <v>46091</v>
      </c>
      <c r="B4">
        <v>3</v>
      </c>
      <c r="C4" t="s">
        <v>8</v>
      </c>
      <c r="D4" s="2">
        <v>23</v>
      </c>
      <c r="E4" s="3">
        <v>20</v>
      </c>
      <c r="F4" s="3">
        <v>20</v>
      </c>
      <c r="G4" s="3">
        <f>Sales_Table[[#This Row],[Total_Sales]]-Sales_Table[[#This Row],[Paid_Amount]]</f>
        <v>0</v>
      </c>
    </row>
    <row r="5" spans="1:7" x14ac:dyDescent="0.25">
      <c r="A5" s="4">
        <v>46093</v>
      </c>
      <c r="B5">
        <v>2</v>
      </c>
      <c r="C5" t="s">
        <v>31</v>
      </c>
      <c r="D5" s="2">
        <v>10</v>
      </c>
      <c r="E5" s="3">
        <v>13</v>
      </c>
      <c r="F5" s="3">
        <v>13</v>
      </c>
      <c r="G5" s="3">
        <f>Sales_Table[[#This Row],[Total_Sales]]-Sales_Table[[#This Row],[Paid_Amount]]</f>
        <v>0</v>
      </c>
    </row>
    <row r="6" spans="1:7" x14ac:dyDescent="0.25">
      <c r="A6" s="4">
        <v>46101</v>
      </c>
      <c r="B6">
        <v>4</v>
      </c>
      <c r="C6" t="s">
        <v>31</v>
      </c>
      <c r="D6" s="2">
        <v>1.5</v>
      </c>
      <c r="E6" s="3">
        <v>2.5</v>
      </c>
      <c r="F6" s="3">
        <v>2.5</v>
      </c>
      <c r="G6" s="3">
        <f>Sales_Table[[#This Row],[Total_Sales]]-Sales_Table[[#This Row],[Paid_Amount]]</f>
        <v>0</v>
      </c>
    </row>
    <row r="7" spans="1:7" x14ac:dyDescent="0.25">
      <c r="A7" s="4">
        <v>46113</v>
      </c>
      <c r="B7">
        <v>1</v>
      </c>
      <c r="C7" t="s">
        <v>31</v>
      </c>
      <c r="D7" s="2">
        <v>5</v>
      </c>
      <c r="E7" s="3">
        <v>200.5</v>
      </c>
      <c r="F7" s="3">
        <v>200.5</v>
      </c>
      <c r="G7" s="3">
        <f>Sales_Table[[#This Row],[Total_Sales]]-Sales_Table[[#This Row],[Paid_Amount]]</f>
        <v>0</v>
      </c>
    </row>
    <row r="8" spans="1:7" x14ac:dyDescent="0.25">
      <c r="A8" s="4">
        <v>46113</v>
      </c>
      <c r="B8">
        <v>2</v>
      </c>
      <c r="C8" t="s">
        <v>31</v>
      </c>
      <c r="D8" s="2">
        <v>3</v>
      </c>
      <c r="E8" s="3">
        <v>540</v>
      </c>
      <c r="F8" s="3">
        <v>540</v>
      </c>
      <c r="G8" s="3">
        <f>Sales_Table[[#This Row],[Total_Sales]]-Sales_Table[[#This Row],[Paid_Amount]]</f>
        <v>0</v>
      </c>
    </row>
    <row r="9" spans="1:7" x14ac:dyDescent="0.25">
      <c r="A9" s="4">
        <v>46114</v>
      </c>
      <c r="B9">
        <v>5</v>
      </c>
      <c r="C9" t="s">
        <v>31</v>
      </c>
      <c r="D9" s="2">
        <v>2</v>
      </c>
      <c r="E9" s="3">
        <v>30</v>
      </c>
      <c r="F9" s="3">
        <v>25</v>
      </c>
      <c r="G9" s="3">
        <f>Sales_Table[[#This Row],[Total_Sales]]-Sales_Table[[#This Row],[Paid_Amount]]</f>
        <v>5</v>
      </c>
    </row>
    <row r="10" spans="1:7" x14ac:dyDescent="0.25">
      <c r="A10" s="4">
        <v>46114</v>
      </c>
      <c r="B10">
        <v>3</v>
      </c>
      <c r="C10" t="s">
        <v>8</v>
      </c>
      <c r="D10" s="2">
        <v>15</v>
      </c>
      <c r="E10" s="3">
        <v>1250</v>
      </c>
      <c r="F10" s="3">
        <v>1250</v>
      </c>
      <c r="G10" s="3">
        <f>Sales_Table[[#This Row],[Total_Sales]]-Sales_Table[[#This Row],[Paid_Amount]]</f>
        <v>0</v>
      </c>
    </row>
    <row r="11" spans="1:7" x14ac:dyDescent="0.25">
      <c r="A11" s="4">
        <v>46114</v>
      </c>
      <c r="B11">
        <v>4</v>
      </c>
      <c r="C11" t="s">
        <v>31</v>
      </c>
      <c r="D11" s="2">
        <v>3</v>
      </c>
      <c r="E11" s="3">
        <v>40</v>
      </c>
      <c r="F11" s="3">
        <v>10</v>
      </c>
      <c r="G11" s="3">
        <f>Sales_Table[[#This Row],[Total_Sales]]-Sales_Table[[#This Row],[Paid_Amount]]</f>
        <v>30</v>
      </c>
    </row>
    <row r="12" spans="1:7" x14ac:dyDescent="0.25">
      <c r="A12" s="4">
        <v>46115</v>
      </c>
      <c r="B12">
        <v>9</v>
      </c>
      <c r="C12" t="s">
        <v>31</v>
      </c>
      <c r="D12" s="2">
        <v>1</v>
      </c>
      <c r="E12" s="3">
        <v>20</v>
      </c>
      <c r="F12" s="3">
        <v>5</v>
      </c>
      <c r="G12" s="3">
        <f>Sales_Table[[#This Row],[Total_Sales]]-Sales_Table[[#This Row],[Paid_Amount]]</f>
        <v>15</v>
      </c>
    </row>
  </sheetData>
  <conditionalFormatting sqref="G1:G1048576">
    <cfRule type="cellIs" dxfId="16" priority="1" operator="greaterThan">
      <formula>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Customers!$A:$A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8" sqref="E18"/>
    </sheetView>
  </sheetViews>
  <sheetFormatPr defaultRowHeight="15" x14ac:dyDescent="0.25"/>
  <cols>
    <col min="1" max="1" width="10.7109375" style="4" bestFit="1" customWidth="1"/>
    <col min="2" max="2" width="16.5703125" customWidth="1"/>
    <col min="3" max="3" width="16.28515625" customWidth="1"/>
    <col min="4" max="4" width="17" style="1" customWidth="1"/>
    <col min="5" max="5" width="18.85546875" style="3" customWidth="1"/>
    <col min="6" max="6" width="19" customWidth="1"/>
  </cols>
  <sheetData>
    <row r="1" spans="1:6" x14ac:dyDescent="0.25">
      <c r="A1" s="4" t="s">
        <v>9</v>
      </c>
      <c r="B1" t="s">
        <v>18</v>
      </c>
      <c r="C1" t="s">
        <v>19</v>
      </c>
      <c r="D1" t="s">
        <v>21</v>
      </c>
      <c r="E1" s="3" t="s">
        <v>20</v>
      </c>
      <c r="F1" s="1" t="s">
        <v>24</v>
      </c>
    </row>
    <row r="2" spans="1:6" x14ac:dyDescent="0.25">
      <c r="A2" s="4">
        <v>46083</v>
      </c>
      <c r="B2" t="s">
        <v>29</v>
      </c>
      <c r="C2" t="s">
        <v>6</v>
      </c>
      <c r="D2" s="1">
        <v>5</v>
      </c>
      <c r="E2" s="3">
        <v>6</v>
      </c>
      <c r="F2" s="1"/>
    </row>
    <row r="3" spans="1:6" x14ac:dyDescent="0.25">
      <c r="A3" s="4">
        <v>46086</v>
      </c>
      <c r="B3" t="s">
        <v>35</v>
      </c>
      <c r="C3" t="s">
        <v>6</v>
      </c>
      <c r="D3" s="1">
        <v>3.5</v>
      </c>
      <c r="E3" s="3">
        <v>5</v>
      </c>
      <c r="F3" s="1"/>
    </row>
    <row r="4" spans="1:6" x14ac:dyDescent="0.25">
      <c r="A4" s="4">
        <v>46091</v>
      </c>
      <c r="B4" t="s">
        <v>26</v>
      </c>
      <c r="C4" t="s">
        <v>5</v>
      </c>
      <c r="D4" s="1">
        <v>20</v>
      </c>
      <c r="E4" s="3">
        <v>29</v>
      </c>
      <c r="F4" s="1"/>
    </row>
    <row r="5" spans="1:6" x14ac:dyDescent="0.25">
      <c r="A5" s="4">
        <v>46097</v>
      </c>
      <c r="B5" t="s">
        <v>29</v>
      </c>
      <c r="C5" t="s">
        <v>6</v>
      </c>
      <c r="D5" s="1">
        <v>7</v>
      </c>
      <c r="E5" s="3">
        <v>8</v>
      </c>
      <c r="F5" s="1"/>
    </row>
    <row r="6" spans="1:6" x14ac:dyDescent="0.25">
      <c r="A6" s="4">
        <v>46106</v>
      </c>
      <c r="B6" t="s">
        <v>30</v>
      </c>
      <c r="C6" t="s">
        <v>6</v>
      </c>
      <c r="D6" s="1">
        <v>4</v>
      </c>
      <c r="E6" s="3">
        <v>6.3</v>
      </c>
      <c r="F6" s="1"/>
    </row>
    <row r="7" spans="1:6" x14ac:dyDescent="0.25">
      <c r="A7" s="4">
        <v>46113</v>
      </c>
      <c r="B7" t="s">
        <v>26</v>
      </c>
      <c r="C7" t="s">
        <v>5</v>
      </c>
      <c r="D7" s="2">
        <v>15</v>
      </c>
      <c r="E7" s="3">
        <v>530.5</v>
      </c>
      <c r="F7" s="1"/>
    </row>
    <row r="8" spans="1:6" x14ac:dyDescent="0.25">
      <c r="A8" s="4">
        <v>46113</v>
      </c>
      <c r="B8" t="s">
        <v>27</v>
      </c>
      <c r="C8" t="s">
        <v>6</v>
      </c>
      <c r="D8" s="2">
        <v>2</v>
      </c>
      <c r="E8" s="3">
        <v>3.2</v>
      </c>
      <c r="F8" s="1"/>
    </row>
    <row r="9" spans="1:6" x14ac:dyDescent="0.25">
      <c r="A9" s="4">
        <v>46114</v>
      </c>
      <c r="B9" t="s">
        <v>25</v>
      </c>
      <c r="C9" t="s">
        <v>5</v>
      </c>
      <c r="D9" s="2">
        <v>5</v>
      </c>
      <c r="E9" s="3">
        <v>100</v>
      </c>
      <c r="F9" s="1"/>
    </row>
    <row r="10" spans="1:6" x14ac:dyDescent="0.25">
      <c r="A10" s="4">
        <v>46115</v>
      </c>
      <c r="B10" t="s">
        <v>32</v>
      </c>
      <c r="C10" t="s">
        <v>6</v>
      </c>
      <c r="D10" s="2">
        <v>3</v>
      </c>
      <c r="E10" s="3">
        <v>10.3</v>
      </c>
      <c r="F10" s="1"/>
    </row>
    <row r="11" spans="1:6" x14ac:dyDescent="0.25">
      <c r="A11" s="4">
        <v>46115</v>
      </c>
      <c r="B11" t="s">
        <v>30</v>
      </c>
      <c r="C11" t="s">
        <v>6</v>
      </c>
      <c r="D11" s="2">
        <v>4</v>
      </c>
      <c r="E11" s="3">
        <v>3</v>
      </c>
      <c r="F1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7" sqref="C17"/>
    </sheetView>
  </sheetViews>
  <sheetFormatPr defaultRowHeight="15" x14ac:dyDescent="0.25"/>
  <cols>
    <col min="1" max="1" width="10.7109375" style="4" bestFit="1" customWidth="1"/>
    <col min="2" max="2" width="17" customWidth="1"/>
    <col min="3" max="3" width="18.140625" style="3" customWidth="1"/>
  </cols>
  <sheetData>
    <row r="1" spans="1:3" x14ac:dyDescent="0.25">
      <c r="A1" s="4" t="s">
        <v>9</v>
      </c>
      <c r="B1" t="s">
        <v>15</v>
      </c>
      <c r="C1" s="3" t="s">
        <v>14</v>
      </c>
    </row>
    <row r="2" spans="1:3" x14ac:dyDescent="0.25">
      <c r="A2" s="4">
        <v>46108</v>
      </c>
      <c r="B2" t="s">
        <v>38</v>
      </c>
      <c r="C2" s="3">
        <v>50</v>
      </c>
    </row>
    <row r="3" spans="1:3" x14ac:dyDescent="0.25">
      <c r="A3" s="4">
        <v>46108</v>
      </c>
      <c r="B3" t="s">
        <v>37</v>
      </c>
      <c r="C3" s="3">
        <v>15</v>
      </c>
    </row>
    <row r="4" spans="1:3" x14ac:dyDescent="0.25">
      <c r="A4" s="4">
        <v>46105</v>
      </c>
      <c r="B4" t="s">
        <v>36</v>
      </c>
      <c r="C4" s="3">
        <v>500</v>
      </c>
    </row>
    <row r="5" spans="1:3" x14ac:dyDescent="0.25">
      <c r="A5" s="4">
        <v>46108</v>
      </c>
      <c r="B5" t="s">
        <v>33</v>
      </c>
      <c r="C5" s="3">
        <v>15</v>
      </c>
    </row>
    <row r="6" spans="1:3" x14ac:dyDescent="0.25">
      <c r="A6" s="4">
        <v>46113</v>
      </c>
      <c r="B6" t="s">
        <v>33</v>
      </c>
      <c r="C6" s="3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7" sqref="E17"/>
    </sheetView>
  </sheetViews>
  <sheetFormatPr defaultRowHeight="15" x14ac:dyDescent="0.25"/>
  <cols>
    <col min="1" max="1" width="10.7109375" style="4" bestFit="1" customWidth="1"/>
    <col min="2" max="2" width="16" customWidth="1"/>
    <col min="3" max="3" width="16.140625" style="1" customWidth="1"/>
    <col min="4" max="4" width="18.7109375" style="1" customWidth="1"/>
    <col min="5" max="5" width="22.7109375" style="1" customWidth="1"/>
  </cols>
  <sheetData>
    <row r="1" spans="1:5" x14ac:dyDescent="0.25">
      <c r="A1" s="4" t="s">
        <v>9</v>
      </c>
      <c r="B1" t="s">
        <v>16</v>
      </c>
      <c r="C1" s="1" t="s">
        <v>17</v>
      </c>
      <c r="D1" s="1" t="s">
        <v>22</v>
      </c>
      <c r="E1" s="1" t="s">
        <v>23</v>
      </c>
    </row>
    <row r="2" spans="1:5" x14ac:dyDescent="0.25">
      <c r="A2" s="4">
        <v>46086</v>
      </c>
      <c r="B2" t="s">
        <v>28</v>
      </c>
      <c r="C2" s="1">
        <v>15</v>
      </c>
      <c r="D2" s="1">
        <v>15</v>
      </c>
      <c r="E2" s="1">
        <f>Loans_table[[#This Row],[Amount_given]]-Loans_table[[#This Row],[Amount_paid]]</f>
        <v>0</v>
      </c>
    </row>
    <row r="3" spans="1:5" x14ac:dyDescent="0.25">
      <c r="A3" s="4">
        <v>46087</v>
      </c>
      <c r="B3" t="s">
        <v>39</v>
      </c>
      <c r="C3" s="1">
        <v>5</v>
      </c>
      <c r="D3" s="1">
        <v>5</v>
      </c>
      <c r="E3" s="1">
        <f>Loans_table[[#This Row],[Amount_given]]-Loans_table[[#This Row],[Amount_paid]]</f>
        <v>0</v>
      </c>
    </row>
    <row r="4" spans="1:5" x14ac:dyDescent="0.25">
      <c r="A4" s="4">
        <v>46093</v>
      </c>
      <c r="B4" t="s">
        <v>35</v>
      </c>
      <c r="C4" s="1">
        <v>20</v>
      </c>
      <c r="D4" s="1">
        <v>10</v>
      </c>
      <c r="E4" s="1">
        <f>Loans_table[[#This Row],[Amount_given]]-Loans_table[[#This Row],[Amount_paid]]</f>
        <v>10</v>
      </c>
    </row>
    <row r="5" spans="1:5" x14ac:dyDescent="0.25">
      <c r="A5" s="4">
        <v>46101</v>
      </c>
      <c r="B5" t="s">
        <v>40</v>
      </c>
      <c r="C5" s="1">
        <v>30</v>
      </c>
      <c r="D5" s="1">
        <v>25</v>
      </c>
      <c r="E5" s="1">
        <f>Loans_table[[#This Row],[Amount_given]]-Loans_table[[#This Row],[Amount_paid]]</f>
        <v>5</v>
      </c>
    </row>
    <row r="6" spans="1:5" x14ac:dyDescent="0.25">
      <c r="A6" s="4">
        <v>46108</v>
      </c>
      <c r="B6" t="s">
        <v>42</v>
      </c>
      <c r="C6" s="1">
        <v>7</v>
      </c>
      <c r="D6" s="1">
        <v>0</v>
      </c>
      <c r="E6" s="1">
        <f>Loans_table[[#This Row],[Amount_given]]-Loans_table[[#This Row],[Amount_paid]]</f>
        <v>7</v>
      </c>
    </row>
    <row r="7" spans="1:5" x14ac:dyDescent="0.25">
      <c r="A7" s="4">
        <v>46114</v>
      </c>
      <c r="B7" t="s">
        <v>41</v>
      </c>
      <c r="C7" s="1">
        <v>10</v>
      </c>
      <c r="D7" s="1">
        <v>10</v>
      </c>
      <c r="E7" s="1">
        <f>Loans_table[[#This Row],[Amount_given]]-Loans_table[[#This Row],[Amount_paid]]</f>
        <v>0</v>
      </c>
    </row>
    <row r="8" spans="1:5" x14ac:dyDescent="0.25">
      <c r="A8" s="4">
        <v>46117</v>
      </c>
      <c r="B8" t="s">
        <v>44</v>
      </c>
      <c r="C8" s="1">
        <v>12</v>
      </c>
      <c r="D8" s="1">
        <v>0</v>
      </c>
      <c r="E8" s="1">
        <f>Loans_table[[#This Row],[Amount_given]]-Loans_table[[#This Row],[Amount_paid]]</f>
        <v>12</v>
      </c>
    </row>
  </sheetData>
  <conditionalFormatting sqref="E1:E1048576">
    <cfRule type="cellIs" dxfId="4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Sales</vt:lpstr>
      <vt:lpstr>Purchases</vt:lpstr>
      <vt:lpstr>Expenses</vt:lpstr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</dc:creator>
  <cp:lastModifiedBy>Isra</cp:lastModifiedBy>
  <dcterms:created xsi:type="dcterms:W3CDTF">2026-03-31T21:16:09Z</dcterms:created>
  <dcterms:modified xsi:type="dcterms:W3CDTF">2026-04-07T11:45:22Z</dcterms:modified>
</cp:coreProperties>
</file>